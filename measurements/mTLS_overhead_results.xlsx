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 &amp; Overhe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P95 latency by mesh configuration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&amp; Overhead'!B3</f>
            </strRef>
          </tx>
          <spPr>
            <a:ln>
              <a:prstDash val="solid"/>
            </a:ln>
          </spPr>
          <cat>
            <numRef>
              <f>'Summary &amp; Overhead'!$A$4:$A$6</f>
            </numRef>
          </cat>
          <val>
            <numRef>
              <f>'Summary &amp; Overhead'!$B$4:$B$6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Configuration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P95 (ms)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MicroBank — mTLS Overhead Benchmark (k6 end-to-end P95 of POST /transactions/transfer)</t>
        </is>
      </c>
    </row>
    <row r="3">
      <c r="A3" s="2" t="inlineStr">
        <is>
          <t>P95 latency per run (ms)</t>
        </is>
      </c>
    </row>
    <row r="4">
      <c r="A4" s="3" t="inlineStr">
        <is>
          <t>Run</t>
        </is>
      </c>
      <c r="B4" s="3" t="inlineStr">
        <is>
          <t>Baseline (no mesh)</t>
        </is>
      </c>
      <c r="C4" s="3" t="inlineStr">
        <is>
          <t>Linkerd</t>
        </is>
      </c>
      <c r="D4" s="3" t="inlineStr">
        <is>
          <t>Istio</t>
        </is>
      </c>
    </row>
    <row r="5">
      <c r="A5" s="4" t="n">
        <v>1</v>
      </c>
      <c r="B5" s="5" t="n">
        <v>82.76996800000001</v>
      </c>
      <c r="C5" s="5" t="n">
        <v>170.996147</v>
      </c>
      <c r="D5" s="5" t="n">
        <v>170.723862</v>
      </c>
    </row>
    <row r="6">
      <c r="A6" s="4" t="n">
        <v>2</v>
      </c>
      <c r="B6" s="5" t="n">
        <v>101.758254</v>
      </c>
      <c r="C6" s="5" t="n">
        <v>113.682708</v>
      </c>
      <c r="D6" s="5" t="n">
        <v>161.373859</v>
      </c>
    </row>
    <row r="7">
      <c r="A7" s="4" t="n">
        <v>3</v>
      </c>
      <c r="B7" s="5" t="n">
        <v>64.964598</v>
      </c>
      <c r="C7" s="5" t="n">
        <v>107.037292</v>
      </c>
      <c r="D7" s="5" t="n">
        <v>128.221779</v>
      </c>
    </row>
    <row r="8">
      <c r="A8" s="4" t="n">
        <v>4</v>
      </c>
      <c r="B8" s="5" t="n">
        <v>79.346129</v>
      </c>
      <c r="C8" s="5" t="n">
        <v>110.474313</v>
      </c>
      <c r="D8" s="5" t="n">
        <v>114.756689</v>
      </c>
    </row>
    <row r="9">
      <c r="A9" s="4" t="n">
        <v>5</v>
      </c>
      <c r="B9" s="5" t="n">
        <v>50.990926</v>
      </c>
      <c r="C9" s="5" t="n">
        <v>86.914033</v>
      </c>
      <c r="D9" s="5" t="n">
        <v>104.030336</v>
      </c>
    </row>
    <row r="10">
      <c r="A10" s="6" t="inlineStr">
        <is>
          <t>Mean</t>
        </is>
      </c>
      <c r="B10" s="5">
        <f>AVERAGE(B5:B9)</f>
        <v/>
      </c>
      <c r="C10" s="5">
        <f>AVERAGE(C5:C9)</f>
        <v/>
      </c>
      <c r="D10" s="5">
        <f>AVERAGE(D5:D9)</f>
        <v/>
      </c>
    </row>
    <row r="11">
      <c r="A11" s="6" t="inlineStr">
        <is>
          <t>Median</t>
        </is>
      </c>
      <c r="B11" s="5">
        <f>MEDIAN(B5:B9)</f>
        <v/>
      </c>
      <c r="C11" s="5">
        <f>MEDIAN(C5:C9)</f>
        <v/>
      </c>
      <c r="D11" s="5">
        <f>MEDIAN(D5:D9)</f>
        <v/>
      </c>
    </row>
    <row r="12">
      <c r="A12" s="6" t="inlineStr">
        <is>
          <t>Std Dev (sample)</t>
        </is>
      </c>
      <c r="B12" s="5">
        <f>STDEV(B5:B9)</f>
        <v/>
      </c>
      <c r="C12" s="5">
        <f>STDEV(C5:C9)</f>
        <v/>
      </c>
      <c r="D12" s="5">
        <f>STDEV(D5:D9)</f>
        <v/>
      </c>
    </row>
    <row r="13">
      <c r="A13" s="6" t="inlineStr">
        <is>
          <t>Min</t>
        </is>
      </c>
      <c r="B13" s="5">
        <f>MIN(B5:B9)</f>
        <v/>
      </c>
      <c r="C13" s="5">
        <f>MIN(C5:C9)</f>
        <v/>
      </c>
      <c r="D13" s="5">
        <f>MIN(D5:D9)</f>
        <v/>
      </c>
    </row>
    <row r="14">
      <c r="A14" s="6" t="inlineStr">
        <is>
          <t>Max</t>
        </is>
      </c>
      <c r="B14" s="5">
        <f>MAX(B5:B9)</f>
        <v/>
      </c>
      <c r="C14" s="5">
        <f>MAX(C5:C9)</f>
        <v/>
      </c>
      <c r="D14" s="5">
        <f>MAX(D5:D9)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mTLS Overhead vs Baseline (mean P95, all 5 runs)</t>
        </is>
      </c>
    </row>
    <row r="3">
      <c r="A3" s="3" t="inlineStr">
        <is>
          <t>Configuration</t>
        </is>
      </c>
      <c r="B3" s="3" t="inlineStr">
        <is>
          <t>Mean P95 (ms)</t>
        </is>
      </c>
      <c r="C3" s="3" t="inlineStr">
        <is>
          <t>Median P95 (ms)</t>
        </is>
      </c>
      <c r="D3" s="3" t="inlineStr">
        <is>
          <t>Std Dev (ms)</t>
        </is>
      </c>
      <c r="E3" s="3" t="inlineStr">
        <is>
          <t>Overhead vs Baseline (ms)</t>
        </is>
      </c>
      <c r="F3" s="3" t="inlineStr">
        <is>
          <t>Overhead vs Baseline (%)</t>
        </is>
      </c>
    </row>
    <row r="4">
      <c r="A4" s="7" t="inlineStr">
        <is>
          <t>Baseline (no mesh)</t>
        </is>
      </c>
      <c r="B4" s="5">
        <f>'Raw Data'!B10</f>
        <v/>
      </c>
      <c r="C4" s="5">
        <f>'Raw Data'!B11</f>
        <v/>
      </c>
      <c r="D4" s="5">
        <f>'Raw Data'!B12</f>
        <v/>
      </c>
      <c r="E4" s="5">
        <f>B4-$B$4</f>
        <v/>
      </c>
      <c r="F4" s="8">
        <f>(B4-$B$4)/$B$4</f>
        <v/>
      </c>
    </row>
    <row r="5">
      <c r="A5" s="7" t="inlineStr">
        <is>
          <t>Linkerd</t>
        </is>
      </c>
      <c r="B5" s="5">
        <f>'Raw Data'!C10</f>
        <v/>
      </c>
      <c r="C5" s="5">
        <f>'Raw Data'!C11</f>
        <v/>
      </c>
      <c r="D5" s="5">
        <f>'Raw Data'!C12</f>
        <v/>
      </c>
      <c r="E5" s="5">
        <f>B5-$B$4</f>
        <v/>
      </c>
      <c r="F5" s="8">
        <f>(B5-$B$4)/$B$4</f>
        <v/>
      </c>
    </row>
    <row r="6">
      <c r="A6" s="7" t="inlineStr">
        <is>
          <t>Istio</t>
        </is>
      </c>
      <c r="B6" s="5">
        <f>'Raw Data'!D10</f>
        <v/>
      </c>
      <c r="C6" s="5">
        <f>'Raw Data'!D11</f>
        <v/>
      </c>
      <c r="D6" s="5">
        <f>'Raw Data'!D12</f>
        <v/>
      </c>
      <c r="E6" s="5">
        <f>B6-$B$4</f>
        <v/>
      </c>
      <c r="F6" s="8">
        <f>(B6-$B$4)/$B$4</f>
        <v/>
      </c>
    </row>
    <row r="26">
      <c r="A26" s="2" t="inlineStr">
        <is>
          <t>Notes / methodology:</t>
        </is>
      </c>
    </row>
    <row r="27">
      <c r="A27" t="inlineStr">
        <is>
          <t>- Metric: end-to-end P95 of POST /api/v1/transactions/transfer, measured with k6 (measure-latency.js).</t>
        </is>
      </c>
    </row>
    <row r="28">
      <c r="A28" t="inlineStr">
        <is>
          <t>- 5 runs per configuration; identical k6 profile, window length and duration trim across all three.</t>
        </is>
      </c>
    </row>
    <row r="29">
      <c r="A29" t="inlineStr">
        <is>
          <t>- A separate warm-up test was run before measuring, so all 5 runs are steady-state and included.</t>
        </is>
      </c>
    </row>
    <row r="30">
      <c r="A30" t="inlineStr">
        <is>
          <t>- PostgreSQL is out of mesh scope (plain TCP) in ALL configs, so the DB tier is a controlled constant.</t>
        </is>
      </c>
    </row>
    <row r="31">
      <c r="A31" t="inlineStr">
        <is>
          <t>- Latency is dominated by app + DB work; the mesh delta is the service-to-service mTLS cost.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2026-06-06T17:32:01Z</dcterms:created>
  <dcterms:modified xsi:type="dcterms:W3CDTF">2026-06-06T17:32:01Z</dcterms:modified>
</cp:coreProperties>
</file>