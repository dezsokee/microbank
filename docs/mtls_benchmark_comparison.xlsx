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sszehasonlítás" sheetId="1" state="visible" r:id="rId3"/>
    <sheet name="Raw Data" sheetId="2" state="visible" r:id="rId4"/>
    <sheet name="Összefoglaló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<sst xmlns="http://schemas.openxmlformats.org/spreadsheetml/2006/main" count="194" uniqueCount="160">
  <si>
    <t xml:space="preserve">MicroBank mTLS Benchmark Összehasonlítás</t>
  </si>
  <si>
    <t xml:space="preserve">k6 terhelésteszt · 5 futás · 3 VU · p95 &lt; 500 ms threshold</t>
  </si>
  <si>
    <t xml:space="preserve">Metrika</t>
  </si>
  <si>
    <t xml:space="preserve">No mTLS #1</t>
  </si>
  <si>
    <t xml:space="preserve">No mTLS #2</t>
  </si>
  <si>
    <t xml:space="preserve">No mTLS #3</t>
  </si>
  <si>
    <t xml:space="preserve">No mTLS #4</t>
  </si>
  <si>
    <t xml:space="preserve">No mTLS #5</t>
  </si>
  <si>
    <t xml:space="preserve">No mTLS AVG</t>
  </si>
  <si>
    <t xml:space="preserve">mTLS #1</t>
  </si>
  <si>
    <t xml:space="preserve">mTLS #2</t>
  </si>
  <si>
    <t xml:space="preserve">mTLS #3</t>
  </si>
  <si>
    <t xml:space="preserve">mTLS #4</t>
  </si>
  <si>
    <t xml:space="preserve">mTLS #5</t>
  </si>
  <si>
    <t xml:space="preserve">mTLS AVG</t>
  </si>
  <si>
    <t xml:space="preserve">Különbség (AVG)</t>
  </si>
  <si>
    <t xml:space="preserve">p95 Teljes válaszidő (ms)</t>
  </si>
  <si>
    <t xml:space="preserve">Átlag válaszidő (ms)</t>
  </si>
  <si>
    <t xml:space="preserve">p95 Auth Service (ms)</t>
  </si>
  <si>
    <t xml:space="preserve">p95 Account Service (ms)</t>
  </si>
  <si>
    <t xml:space="preserve">p95 Exchange Service (ms)</t>
  </si>
  <si>
    <t xml:space="preserve">p95 Transaction Service (ms)</t>
  </si>
  <si>
    <t xml:space="preserve">p95 TX History (ms)</t>
  </si>
  <si>
    <t xml:space="preserve">Összes kérés (db)</t>
  </si>
  <si>
    <t xml:space="preserve">Átlag iteráció idő (s)</t>
  </si>
  <si>
    <t xml:space="preserve">Sikeres ellenőrzések (%)</t>
  </si>
  <si>
    <t xml:space="preserve">HTTP hibaarány (%)</t>
  </si>
  <si>
    <t xml:space="preserve">⚡ Threshold eredmények (p95 &lt; 500 ms)</t>
  </si>
  <si>
    <t xml:space="preserve">Teljes http_req_duration p95</t>
  </si>
  <si>
    <t xml:space="preserve">✓ 290.18</t>
  </si>
  <si>
    <t xml:space="preserve">✓ 325.69</t>
  </si>
  <si>
    <t xml:space="preserve">✓ 312.62</t>
  </si>
  <si>
    <t xml:space="preserve">✓ 330.01</t>
  </si>
  <si>
    <t xml:space="preserve">✓ 360.51</t>
  </si>
  <si>
    <t xml:space="preserve">✓ 221.45</t>
  </si>
  <si>
    <t xml:space="preserve">✓ 277.06</t>
  </si>
  <si>
    <t xml:space="preserve">✓ 336.1</t>
  </si>
  <si>
    <t xml:space="preserve">✗ 573.64</t>
  </si>
  <si>
    <t xml:space="preserve">✓ 383.58</t>
  </si>
  <si>
    <t xml:space="preserve">Auth Service p95</t>
  </si>
  <si>
    <t xml:space="preserve">✓ 104.34</t>
  </si>
  <si>
    <t xml:space="preserve">✓ 79.08</t>
  </si>
  <si>
    <t xml:space="preserve">✓ 113.22</t>
  </si>
  <si>
    <t xml:space="preserve">✓ 79.87</t>
  </si>
  <si>
    <t xml:space="preserve">✓ 86.93</t>
  </si>
  <si>
    <t xml:space="preserve">✓ 73.6</t>
  </si>
  <si>
    <t xml:space="preserve">✓ 71.85</t>
  </si>
  <si>
    <t xml:space="preserve">✓ 66.78</t>
  </si>
  <si>
    <t xml:space="preserve">✓ 277.47</t>
  </si>
  <si>
    <t xml:space="preserve">✓ 68.78</t>
  </si>
  <si>
    <t xml:space="preserve">Account Service p95</t>
  </si>
  <si>
    <t xml:space="preserve">✓ 253.54</t>
  </si>
  <si>
    <t xml:space="preserve">✓ 160.99</t>
  </si>
  <si>
    <t xml:space="preserve">✓ 128.4</t>
  </si>
  <si>
    <t xml:space="preserve">✓ 119.19</t>
  </si>
  <si>
    <t xml:space="preserve">✓ 104.95</t>
  </si>
  <si>
    <t xml:space="preserve">✓ 129.0</t>
  </si>
  <si>
    <t xml:space="preserve">✓ 121.89</t>
  </si>
  <si>
    <t xml:space="preserve">✓ 140.4</t>
  </si>
  <si>
    <t xml:space="preserve">✓ 420.25</t>
  </si>
  <si>
    <t xml:space="preserve">✓ 191.18</t>
  </si>
  <si>
    <t xml:space="preserve">Exchange Service p95</t>
  </si>
  <si>
    <t xml:space="preserve">✓ 174.82</t>
  </si>
  <si>
    <t xml:space="preserve">✓ 144.98</t>
  </si>
  <si>
    <t xml:space="preserve">✓ 121.04</t>
  </si>
  <si>
    <t xml:space="preserve">✓ 109.71</t>
  </si>
  <si>
    <t xml:space="preserve">✓ 114.81</t>
  </si>
  <si>
    <t xml:space="preserve">✓ 110.23</t>
  </si>
  <si>
    <t xml:space="preserve">✓ 117.99</t>
  </si>
  <si>
    <t xml:space="preserve">✓ 124.47</t>
  </si>
  <si>
    <t xml:space="preserve">✓ 295.9</t>
  </si>
  <si>
    <t xml:space="preserve">✓ 152.81</t>
  </si>
  <si>
    <t xml:space="preserve">Transaction Service p95</t>
  </si>
  <si>
    <t xml:space="preserve">✓ 302.08</t>
  </si>
  <si>
    <t xml:space="preserve">✓ 250.69</t>
  </si>
  <si>
    <t xml:space="preserve">✓ 198.4</t>
  </si>
  <si>
    <t xml:space="preserve">✓ 159.73</t>
  </si>
  <si>
    <t xml:space="preserve">✓ 149.6</t>
  </si>
  <si>
    <t xml:space="preserve">✓ 329.62</t>
  </si>
  <si>
    <t xml:space="preserve">✓ 233.99</t>
  </si>
  <si>
    <t xml:space="preserve">✓ 247.41</t>
  </si>
  <si>
    <t xml:space="preserve">✓ 326.09</t>
  </si>
  <si>
    <t xml:space="preserve">✓ 343.55</t>
  </si>
  <si>
    <t xml:space="preserve">Nyers Benchmark Adatok</t>
  </si>
  <si>
    <t xml:space="preserve">Без mTLS (No mTLS)</t>
  </si>
  <si>
    <t xml:space="preserve">Futás</t>
  </si>
  <si>
    <t xml:space="preserve">p95 Total
(ms)</t>
  </si>
  <si>
    <t xml:space="preserve">Avg Total
(ms)</t>
  </si>
  <si>
    <t xml:space="preserve">p95 Auth
(ms)</t>
  </si>
  <si>
    <t xml:space="preserve">p95 Account
(ms)</t>
  </si>
  <si>
    <t xml:space="preserve">p95 Exchange
(ms)</t>
  </si>
  <si>
    <t xml:space="preserve">p95 Tx
(ms)</t>
  </si>
  <si>
    <t xml:space="preserve">p95 TxHist
(ms)</t>
  </si>
  <si>
    <t xml:space="preserve">Total Req</t>
  </si>
  <si>
    <t xml:space="preserve">Iter Avg
(s)</t>
  </si>
  <si>
    <t xml:space="preserve">Checks
(%)</t>
  </si>
  <si>
    <t xml:space="preserve">HTTP Fail
(%)</t>
  </si>
  <si>
    <t xml:space="preserve">#1</t>
  </si>
  <si>
    <t xml:space="preserve">#2</t>
  </si>
  <si>
    <t xml:space="preserve">#3</t>
  </si>
  <si>
    <t xml:space="preserve">#4</t>
  </si>
  <si>
    <t xml:space="preserve">#5</t>
  </si>
  <si>
    <t xml:space="preserve">mTLS</t>
  </si>
  <si>
    <t xml:space="preserve">Összefoglaló &amp; Következtetések</t>
  </si>
  <si>
    <t xml:space="preserve">MicroBank · Istio mTLS vs. mTLS nélkül · k6 load test (5 futás, 3 VU, ~5 min)</t>
  </si>
  <si>
    <t xml:space="preserve">KPI</t>
  </si>
  <si>
    <t xml:space="preserve">No mTLS (AVG)</t>
  </si>
  <si>
    <t xml:space="preserve">mTLS (AVG)</t>
  </si>
  <si>
    <t xml:space="preserve">Különbség</t>
  </si>
  <si>
    <t xml:space="preserve">Jobb?</t>
  </si>
  <si>
    <t xml:space="preserve">Megjegyzés</t>
  </si>
  <si>
    <t xml:space="preserve">p95 Válaszidő (ms)</t>
  </si>
  <si>
    <t xml:space="preserve">+34.57</t>
  </si>
  <si>
    <t xml:space="preserve">No mTLS</t>
  </si>
  <si>
    <t xml:space="preserve">mTLS #4 threshold-t meghaladta (573 ms)</t>
  </si>
  <si>
    <t xml:space="preserve">+31.50</t>
  </si>
  <si>
    <t xml:space="preserve">mTLS-sel ~29% lassabb átlagosan</t>
  </si>
  <si>
    <t xml:space="preserve">+19.01</t>
  </si>
  <si>
    <t xml:space="preserve">mTLS #4-ben ugrás: 277 ms (cert handshake?)</t>
  </si>
  <si>
    <t xml:space="preserve">+47.13</t>
  </si>
  <si>
    <t xml:space="preserve">mTLS #4-ben: 420 ms csúcs</t>
  </si>
  <si>
    <t xml:space="preserve">+45.21</t>
  </si>
  <si>
    <t xml:space="preserve">mTLS #4-ben: 296 ms</t>
  </si>
  <si>
    <t xml:space="preserve">p95 Transaction Svc (ms)</t>
  </si>
  <si>
    <t xml:space="preserve">+84.03</t>
  </si>
  <si>
    <t xml:space="preserve">mTLS-sel konzisztensen magasabb</t>
  </si>
  <si>
    <t xml:space="preserve">+143.38</t>
  </si>
  <si>
    <t xml:space="preserve">Mindkettőnél magas; mTLS-nél szórás nagyobb</t>
  </si>
  <si>
    <t xml:space="preserve">Összes kérés (db/futás)</t>
  </si>
  <si>
    <t xml:space="preserve">-388</t>
  </si>
  <si>
    <t xml:space="preserve">mTLS-sel ~11% kevesebb kérés/futás</t>
  </si>
  <si>
    <t xml:space="preserve">Iteráció idő átlag (s)</t>
  </si>
  <si>
    <t xml:space="preserve">+0.26 s</t>
  </si>
  <si>
    <t xml:space="preserve">mTLS overhead ~260 ms/iteráció</t>
  </si>
  <si>
    <t xml:space="preserve">Threshold átmenés</t>
  </si>
  <si>
    <t xml:space="preserve">5/5 ✓</t>
  </si>
  <si>
    <t xml:space="preserve">4/5 ✓</t>
  </si>
  <si>
    <t xml:space="preserve">1 sikertelen</t>
  </si>
  <si>
    <t xml:space="preserve">mTLS #4: http_req_duration p95=573 ms ✗</t>
  </si>
  <si>
    <t xml:space="preserve">HTTP hibaarány</t>
  </si>
  <si>
    <t xml:space="preserve">0.00%</t>
  </si>
  <si>
    <t xml:space="preserve">0.014%</t>
  </si>
  <si>
    <t xml:space="preserve">+0.014%</t>
  </si>
  <si>
    <t xml:space="preserve">mTLS #5: 2 failed request (tx history timeout)</t>
  </si>
  <si>
    <t xml:space="preserve">Checks sikeres</t>
  </si>
  <si>
    <t xml:space="preserve">100%</t>
  </si>
  <si>
    <t xml:space="preserve">99.97%</t>
  </si>
  <si>
    <t xml:space="preserve">-0.03%</t>
  </si>
  <si>
    <t xml:space="preserve">mTLS #5: 2/1422 check failed</t>
  </si>
  <si>
    <t xml:space="preserve">📋 Értékelés &amp; Javaslatok</t>
  </si>
  <si>
    <t xml:space="preserve">Overhead</t>
  </si>
  <si>
    <t xml:space="preserve">Az mTLS ~29% magasabb átlagos válaszidőt és ~11% kevesebb áteresztőképességet eredményez a cert handshake és a kriptográfiai overhead miatt.</t>
  </si>
  <si>
    <t xml:space="preserve">Stabilitás</t>
  </si>
  <si>
    <t xml:space="preserve">Az mTLS futások szórása nagyobb (#4-es futás kiugró: p95=573 ms, threshold ✗). A cert renewal vagy Istio pilot szinkron okozhat tüskéket.</t>
  </si>
  <si>
    <t xml:space="preserve">TX History</t>
  </si>
  <si>
    <t xml:space="preserve">A leglassabb endpoint mindkét esetben (587 ms vs. 731 ms p95). Az mTLS-nél a #5-ös futásban 59.95 s max érték figyelhető meg — valószínű timeout/retry.</t>
  </si>
  <si>
    <t xml:space="preserve">Biztonság</t>
  </si>
  <si>
    <t xml:space="preserve">Az mTLS overhead elfogadható termelési környezetben: a p95 értékek túlnyomórészt az 500 ms threshold alatt maradnak (4/5 sikeres futás).</t>
  </si>
  <si>
    <t xml:space="preserve">Ajánlás</t>
  </si>
  <si>
    <t xml:space="preserve">A #4-es mTLS futás outlier — vizsgáld meg az Istio pilot log-ot és a cert rotációt. Érdemes több futással (~10) megismételni a benchmark-ot a stabil összehasonlításhoz.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</si>
</sst>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\+#,##0.00;\-#,##0.00;0"/>
    <numFmt numFmtId="167" formatCode="#,##0"/>
    <numFmt numFmtId="168" formatCode="\+#,##0;\-#,##0;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F3864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7B0000"/>
      <name val="Arial"/>
      <family val="0"/>
      <charset val="1"/>
    </font>
    <font>
      <b val="true"/>
      <sz val="10"/>
      <color rgb="FF7B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595959"/>
      </patternFill>
    </fill>
    <fill>
      <patternFill patternType="solid">
        <fgColor rgb="FF595959"/>
        <bgColor rgb="FF375623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FF2CC"/>
      </patternFill>
    </fill>
    <fill>
      <patternFill patternType="solid">
        <fgColor rgb="FFBDD7EE"/>
        <bgColor rgb="FF99CCFF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3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7.5" hidden="false" customHeight="true" outlineLevel="0" collapsed="false"/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6" t="s">
        <v>15</v>
      </c>
    </row>
    <row r="5" customFormat="false" ht="18" hidden="false" customHeight="true" outlineLevel="0" collapsed="false">
      <c r="A5" s="7" t="s">
        <v>16</v>
      </c>
      <c r="B5" s="8" t="n">
        <v>290.18</v>
      </c>
      <c r="C5" s="8" t="n">
        <v>325.69</v>
      </c>
      <c r="D5" s="8" t="n">
        <v>312.62</v>
      </c>
      <c r="E5" s="8" t="n">
        <v>330.01</v>
      </c>
      <c r="F5" s="8" t="n">
        <v>360.51</v>
      </c>
      <c r="G5" s="9" t="n">
        <f aca="false">AVERAGE(B5:F5)</f>
        <v>323.802</v>
      </c>
      <c r="H5" s="8" t="n">
        <v>221.45</v>
      </c>
      <c r="I5" s="8" t="n">
        <v>277.06</v>
      </c>
      <c r="J5" s="8" t="n">
        <v>336.1</v>
      </c>
      <c r="K5" s="8" t="n">
        <v>573.64</v>
      </c>
      <c r="L5" s="8" t="n">
        <v>383.58</v>
      </c>
      <c r="M5" s="10" t="n">
        <f aca="false">AVERAGE(H5:L5)</f>
        <v>358.366</v>
      </c>
      <c r="N5" s="11" t="n">
        <f aca="false">M5-G5</f>
        <v>34.564</v>
      </c>
    </row>
    <row r="6" customFormat="false" ht="18" hidden="false" customHeight="true" outlineLevel="0" collapsed="false">
      <c r="A6" s="7" t="s">
        <v>17</v>
      </c>
      <c r="B6" s="8" t="n">
        <v>118.02</v>
      </c>
      <c r="C6" s="8" t="n">
        <v>127.38</v>
      </c>
      <c r="D6" s="8" t="n">
        <v>102.05</v>
      </c>
      <c r="E6" s="8" t="n">
        <v>99.81</v>
      </c>
      <c r="F6" s="8" t="n">
        <v>103.94</v>
      </c>
      <c r="G6" s="9" t="n">
        <f aca="false">AVERAGE(B6:F6)</f>
        <v>110.24</v>
      </c>
      <c r="H6" s="8" t="n">
        <v>96.16</v>
      </c>
      <c r="I6" s="8" t="n">
        <v>102.47</v>
      </c>
      <c r="J6" s="8" t="n">
        <v>154.47</v>
      </c>
      <c r="K6" s="8" t="n">
        <v>178.39</v>
      </c>
      <c r="L6" s="8" t="n">
        <v>177.23</v>
      </c>
      <c r="M6" s="10" t="n">
        <f aca="false">AVERAGE(H6:L6)</f>
        <v>141.744</v>
      </c>
      <c r="N6" s="11" t="n">
        <f aca="false">M6-G6</f>
        <v>31.504</v>
      </c>
    </row>
    <row r="7" customFormat="false" ht="18" hidden="false" customHeight="true" outlineLevel="0" collapsed="false">
      <c r="A7" s="7" t="s">
        <v>18</v>
      </c>
      <c r="B7" s="8" t="n">
        <v>104.34</v>
      </c>
      <c r="C7" s="8" t="n">
        <v>79.08</v>
      </c>
      <c r="D7" s="8" t="n">
        <v>113.22</v>
      </c>
      <c r="E7" s="8" t="n">
        <v>79.87</v>
      </c>
      <c r="F7" s="8" t="n">
        <v>86.93</v>
      </c>
      <c r="G7" s="9" t="n">
        <f aca="false">AVERAGE(B7:F7)</f>
        <v>92.688</v>
      </c>
      <c r="H7" s="8" t="n">
        <v>73.6</v>
      </c>
      <c r="I7" s="8" t="n">
        <v>71.85</v>
      </c>
      <c r="J7" s="8" t="n">
        <v>66.78</v>
      </c>
      <c r="K7" s="8" t="n">
        <v>277.47</v>
      </c>
      <c r="L7" s="8" t="n">
        <v>68.78</v>
      </c>
      <c r="M7" s="10" t="n">
        <f aca="false">AVERAGE(H7:L7)</f>
        <v>111.696</v>
      </c>
      <c r="N7" s="11" t="n">
        <f aca="false">M7-G7</f>
        <v>19.008</v>
      </c>
    </row>
    <row r="8" customFormat="false" ht="18" hidden="false" customHeight="true" outlineLevel="0" collapsed="false">
      <c r="A8" s="7" t="s">
        <v>19</v>
      </c>
      <c r="B8" s="8" t="n">
        <v>253.54</v>
      </c>
      <c r="C8" s="8" t="n">
        <v>160.99</v>
      </c>
      <c r="D8" s="8" t="n">
        <v>128.4</v>
      </c>
      <c r="E8" s="8" t="n">
        <v>119.19</v>
      </c>
      <c r="F8" s="8" t="n">
        <v>104.95</v>
      </c>
      <c r="G8" s="9" t="n">
        <f aca="false">AVERAGE(B8:F8)</f>
        <v>153.414</v>
      </c>
      <c r="H8" s="8" t="n">
        <v>129</v>
      </c>
      <c r="I8" s="8" t="n">
        <v>121.89</v>
      </c>
      <c r="J8" s="8" t="n">
        <v>140.4</v>
      </c>
      <c r="K8" s="8" t="n">
        <v>420.25</v>
      </c>
      <c r="L8" s="8" t="n">
        <v>191.18</v>
      </c>
      <c r="M8" s="10" t="n">
        <f aca="false">AVERAGE(H8:L8)</f>
        <v>200.544</v>
      </c>
      <c r="N8" s="11" t="n">
        <f aca="false">M8-G8</f>
        <v>47.13</v>
      </c>
    </row>
    <row r="9" customFormat="false" ht="18" hidden="false" customHeight="true" outlineLevel="0" collapsed="false">
      <c r="A9" s="7" t="s">
        <v>20</v>
      </c>
      <c r="B9" s="8" t="n">
        <v>174.82</v>
      </c>
      <c r="C9" s="8" t="n">
        <v>144.98</v>
      </c>
      <c r="D9" s="8" t="n">
        <v>121.04</v>
      </c>
      <c r="E9" s="8" t="n">
        <v>109.71</v>
      </c>
      <c r="F9" s="8" t="n">
        <v>114.81</v>
      </c>
      <c r="G9" s="9" t="n">
        <f aca="false">AVERAGE(B9:F9)</f>
        <v>133.072</v>
      </c>
      <c r="H9" s="8" t="n">
        <v>110.23</v>
      </c>
      <c r="I9" s="8" t="n">
        <v>117.99</v>
      </c>
      <c r="J9" s="8" t="n">
        <v>124.47</v>
      </c>
      <c r="K9" s="8" t="n">
        <v>295.9</v>
      </c>
      <c r="L9" s="8" t="n">
        <v>152.81</v>
      </c>
      <c r="M9" s="10" t="n">
        <f aca="false">AVERAGE(H9:L9)</f>
        <v>160.28</v>
      </c>
      <c r="N9" s="11" t="n">
        <f aca="false">M9-G9</f>
        <v>27.208</v>
      </c>
    </row>
    <row r="10" customFormat="false" ht="18" hidden="false" customHeight="true" outlineLevel="0" collapsed="false">
      <c r="A10" s="7" t="s">
        <v>21</v>
      </c>
      <c r="B10" s="8" t="n">
        <v>302.08</v>
      </c>
      <c r="C10" s="8" t="n">
        <v>250.69</v>
      </c>
      <c r="D10" s="8" t="n">
        <v>198.4</v>
      </c>
      <c r="E10" s="8" t="n">
        <v>159.73</v>
      </c>
      <c r="F10" s="8" t="n">
        <v>149.6</v>
      </c>
      <c r="G10" s="9" t="n">
        <f aca="false">AVERAGE(B10:F10)</f>
        <v>212.1</v>
      </c>
      <c r="H10" s="8" t="n">
        <v>329.62</v>
      </c>
      <c r="I10" s="8" t="n">
        <v>233.99</v>
      </c>
      <c r="J10" s="8" t="n">
        <v>247.41</v>
      </c>
      <c r="K10" s="8" t="n">
        <v>326.09</v>
      </c>
      <c r="L10" s="8" t="n">
        <v>343.55</v>
      </c>
      <c r="M10" s="10" t="n">
        <f aca="false">AVERAGE(H10:L10)</f>
        <v>296.132</v>
      </c>
      <c r="N10" s="11" t="n">
        <f aca="false">M10-G10</f>
        <v>84.032</v>
      </c>
    </row>
    <row r="11" customFormat="false" ht="18" hidden="false" customHeight="true" outlineLevel="0" collapsed="false">
      <c r="A11" s="7" t="s">
        <v>22</v>
      </c>
      <c r="B11" s="8" t="n">
        <v>483.26</v>
      </c>
      <c r="C11" s="8" t="n">
        <v>829.54</v>
      </c>
      <c r="D11" s="8" t="n">
        <v>540.66</v>
      </c>
      <c r="E11" s="8" t="n">
        <v>531.72</v>
      </c>
      <c r="F11" s="8" t="n">
        <v>553.41</v>
      </c>
      <c r="G11" s="9" t="n">
        <f aca="false">AVERAGE(B11:F11)</f>
        <v>587.718</v>
      </c>
      <c r="H11" s="8" t="n">
        <v>311.98</v>
      </c>
      <c r="I11" s="8" t="n">
        <v>478.87</v>
      </c>
      <c r="J11" s="8" t="n">
        <v>639.38</v>
      </c>
      <c r="K11" s="8" t="n">
        <v>1290</v>
      </c>
      <c r="L11" s="8" t="n">
        <v>935.29</v>
      </c>
      <c r="M11" s="10" t="n">
        <f aca="false">AVERAGE(H11:L11)</f>
        <v>731.104</v>
      </c>
      <c r="N11" s="11" t="n">
        <f aca="false">M11-G11</f>
        <v>143.386</v>
      </c>
    </row>
    <row r="12" customFormat="false" ht="18" hidden="false" customHeight="true" outlineLevel="0" collapsed="false">
      <c r="A12" s="7" t="s">
        <v>23</v>
      </c>
      <c r="B12" s="12" t="n">
        <v>3458</v>
      </c>
      <c r="C12" s="12" t="n">
        <v>3318</v>
      </c>
      <c r="D12" s="12" t="n">
        <v>3728</v>
      </c>
      <c r="E12" s="12" t="n">
        <v>3778</v>
      </c>
      <c r="F12" s="12" t="n">
        <v>3698</v>
      </c>
      <c r="G12" s="13" t="n">
        <f aca="false">AVERAGE(B12:F12)</f>
        <v>3596</v>
      </c>
      <c r="H12" s="12" t="n">
        <v>3858</v>
      </c>
      <c r="I12" s="12" t="n">
        <v>3728</v>
      </c>
      <c r="J12" s="12" t="n">
        <v>2997</v>
      </c>
      <c r="K12" s="12" t="n">
        <v>2698</v>
      </c>
      <c r="L12" s="12" t="n">
        <v>2857</v>
      </c>
      <c r="M12" s="14" t="n">
        <f aca="false">AVERAGE(H12:L12)</f>
        <v>3227.6</v>
      </c>
      <c r="N12" s="15" t="n">
        <f aca="false">M12-G12</f>
        <v>-368.4</v>
      </c>
    </row>
    <row r="13" customFormat="false" ht="18" hidden="false" customHeight="true" outlineLevel="0" collapsed="false">
      <c r="A13" s="7" t="s">
        <v>24</v>
      </c>
      <c r="B13" s="8" t="n">
        <v>2.18</v>
      </c>
      <c r="C13" s="8" t="n">
        <v>2.28</v>
      </c>
      <c r="D13" s="8" t="n">
        <v>2.02</v>
      </c>
      <c r="E13" s="8" t="n">
        <v>2</v>
      </c>
      <c r="F13" s="8" t="n">
        <v>2.04</v>
      </c>
      <c r="G13" s="9" t="n">
        <f aca="false">AVERAGE(B13:F13)</f>
        <v>2.104</v>
      </c>
      <c r="H13" s="8" t="n">
        <v>1.96</v>
      </c>
      <c r="I13" s="8" t="n">
        <v>2.03</v>
      </c>
      <c r="J13" s="8" t="n">
        <v>2.32</v>
      </c>
      <c r="K13" s="8" t="n">
        <v>2.8</v>
      </c>
      <c r="L13" s="8" t="n">
        <v>2.71</v>
      </c>
      <c r="M13" s="10" t="n">
        <f aca="false">AVERAGE(H13:L13)</f>
        <v>2.364</v>
      </c>
      <c r="N13" s="11" t="n">
        <f aca="false">M13-G13</f>
        <v>0.26</v>
      </c>
    </row>
    <row r="14" customFormat="false" ht="18" hidden="false" customHeight="true" outlineLevel="0" collapsed="false">
      <c r="A14" s="7" t="s">
        <v>25</v>
      </c>
      <c r="B14" s="8" t="n">
        <v>100</v>
      </c>
      <c r="C14" s="8" t="n">
        <v>100</v>
      </c>
      <c r="D14" s="8" t="n">
        <v>100</v>
      </c>
      <c r="E14" s="8" t="n">
        <v>100</v>
      </c>
      <c r="F14" s="8" t="n">
        <v>100</v>
      </c>
      <c r="G14" s="9" t="n">
        <f aca="false">AVERAGE(B14:F14)</f>
        <v>100</v>
      </c>
      <c r="H14" s="8" t="n">
        <v>100</v>
      </c>
      <c r="I14" s="8" t="n">
        <v>100</v>
      </c>
      <c r="J14" s="8" t="n">
        <v>100</v>
      </c>
      <c r="K14" s="8" t="n">
        <v>100</v>
      </c>
      <c r="L14" s="8" t="n">
        <v>99.85</v>
      </c>
      <c r="M14" s="10" t="n">
        <f aca="false">AVERAGE(H14:L14)</f>
        <v>99.97</v>
      </c>
      <c r="N14" s="11" t="n">
        <f aca="false">M14-G14</f>
        <v>-0.0300000000000011</v>
      </c>
    </row>
    <row r="15" customFormat="false" ht="18" hidden="false" customHeight="true" outlineLevel="0" collapsed="false">
      <c r="A15" s="7" t="s">
        <v>26</v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9" t="n">
        <f aca="false">AVERAGE(B15:F15)</f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0.07</v>
      </c>
      <c r="M15" s="10" t="n">
        <f aca="false">AVERAGE(H15:L15)</f>
        <v>0.014</v>
      </c>
      <c r="N15" s="11" t="n">
        <f aca="false">M15-G15</f>
        <v>0.014</v>
      </c>
    </row>
    <row r="16" customFormat="false" ht="9.75" hidden="false" customHeight="true" outlineLevel="0" collapsed="false"/>
    <row r="17" customFormat="false" ht="24" hidden="false" customHeight="true" outlineLevel="0" collapsed="false">
      <c r="A17" s="16" t="s">
        <v>27</v>
      </c>
      <c r="B17" s="16"/>
      <c r="C17" s="16"/>
      <c r="D17" s="16"/>
      <c r="E17" s="16"/>
      <c r="F17" s="16"/>
      <c r="G17" s="16"/>
      <c r="H17" s="17" t="s">
        <v>27</v>
      </c>
      <c r="I17" s="17"/>
      <c r="J17" s="17"/>
      <c r="K17" s="17"/>
      <c r="L17" s="17"/>
      <c r="M17" s="17"/>
      <c r="N17" s="17"/>
    </row>
    <row r="18" customFormat="false" ht="18" hidden="false" customHeight="true" outlineLevel="0" collapsed="false">
      <c r="A18" s="18" t="s">
        <v>28</v>
      </c>
      <c r="B18" s="19" t="s">
        <v>29</v>
      </c>
      <c r="C18" s="19" t="s">
        <v>30</v>
      </c>
      <c r="D18" s="19" t="s">
        <v>31</v>
      </c>
      <c r="E18" s="19" t="s">
        <v>32</v>
      </c>
      <c r="F18" s="19" t="s">
        <v>33</v>
      </c>
      <c r="G18" s="9" t="n">
        <v>323.802</v>
      </c>
      <c r="H18" s="19" t="s">
        <v>34</v>
      </c>
      <c r="I18" s="19" t="s">
        <v>35</v>
      </c>
      <c r="J18" s="19" t="s">
        <v>36</v>
      </c>
      <c r="K18" s="20" t="s">
        <v>37</v>
      </c>
      <c r="L18" s="19" t="s">
        <v>38</v>
      </c>
      <c r="M18" s="10" t="n">
        <v>358.366</v>
      </c>
      <c r="N18" s="21" t="n">
        <v>34.564</v>
      </c>
    </row>
    <row r="19" customFormat="false" ht="18" hidden="false" customHeight="true" outlineLevel="0" collapsed="false">
      <c r="A19" s="18" t="s">
        <v>39</v>
      </c>
      <c r="B19" s="19" t="s">
        <v>40</v>
      </c>
      <c r="C19" s="19" t="s">
        <v>41</v>
      </c>
      <c r="D19" s="19" t="s">
        <v>42</v>
      </c>
      <c r="E19" s="19" t="s">
        <v>43</v>
      </c>
      <c r="F19" s="19" t="s">
        <v>44</v>
      </c>
      <c r="G19" s="9" t="n">
        <v>92.688</v>
      </c>
      <c r="H19" s="19" t="s">
        <v>45</v>
      </c>
      <c r="I19" s="19" t="s">
        <v>46</v>
      </c>
      <c r="J19" s="19" t="s">
        <v>47</v>
      </c>
      <c r="K19" s="19" t="s">
        <v>48</v>
      </c>
      <c r="L19" s="19" t="s">
        <v>49</v>
      </c>
      <c r="M19" s="10" t="n">
        <v>111.696</v>
      </c>
      <c r="N19" s="21" t="n">
        <v>19.008</v>
      </c>
    </row>
    <row r="20" customFormat="false" ht="18" hidden="false" customHeight="true" outlineLevel="0" collapsed="false">
      <c r="A20" s="18" t="s">
        <v>50</v>
      </c>
      <c r="B20" s="19" t="s">
        <v>51</v>
      </c>
      <c r="C20" s="19" t="s">
        <v>52</v>
      </c>
      <c r="D20" s="19" t="s">
        <v>53</v>
      </c>
      <c r="E20" s="19" t="s">
        <v>54</v>
      </c>
      <c r="F20" s="19" t="s">
        <v>55</v>
      </c>
      <c r="G20" s="9" t="n">
        <v>153.414</v>
      </c>
      <c r="H20" s="19" t="s">
        <v>56</v>
      </c>
      <c r="I20" s="19" t="s">
        <v>57</v>
      </c>
      <c r="J20" s="19" t="s">
        <v>58</v>
      </c>
      <c r="K20" s="19" t="s">
        <v>59</v>
      </c>
      <c r="L20" s="19" t="s">
        <v>60</v>
      </c>
      <c r="M20" s="10" t="n">
        <v>200.544</v>
      </c>
      <c r="N20" s="21" t="n">
        <v>47.13</v>
      </c>
    </row>
    <row r="21" customFormat="false" ht="18" hidden="false" customHeight="true" outlineLevel="0" collapsed="false">
      <c r="A21" s="18" t="s">
        <v>61</v>
      </c>
      <c r="B21" s="19" t="s">
        <v>62</v>
      </c>
      <c r="C21" s="19" t="s">
        <v>63</v>
      </c>
      <c r="D21" s="19" t="s">
        <v>64</v>
      </c>
      <c r="E21" s="19" t="s">
        <v>65</v>
      </c>
      <c r="F21" s="19" t="s">
        <v>66</v>
      </c>
      <c r="G21" s="9" t="n">
        <v>133.072</v>
      </c>
      <c r="H21" s="19" t="s">
        <v>67</v>
      </c>
      <c r="I21" s="19" t="s">
        <v>68</v>
      </c>
      <c r="J21" s="19" t="s">
        <v>69</v>
      </c>
      <c r="K21" s="19" t="s">
        <v>70</v>
      </c>
      <c r="L21" s="19" t="s">
        <v>71</v>
      </c>
      <c r="M21" s="10" t="n">
        <v>160.28</v>
      </c>
      <c r="N21" s="21" t="n">
        <v>27.208</v>
      </c>
    </row>
    <row r="22" customFormat="false" ht="18" hidden="false" customHeight="true" outlineLevel="0" collapsed="false">
      <c r="A22" s="18" t="s">
        <v>72</v>
      </c>
      <c r="B22" s="19" t="s">
        <v>73</v>
      </c>
      <c r="C22" s="19" t="s">
        <v>74</v>
      </c>
      <c r="D22" s="19" t="s">
        <v>75</v>
      </c>
      <c r="E22" s="19" t="s">
        <v>76</v>
      </c>
      <c r="F22" s="19" t="s">
        <v>77</v>
      </c>
      <c r="G22" s="9" t="n">
        <v>212.1</v>
      </c>
      <c r="H22" s="19" t="s">
        <v>78</v>
      </c>
      <c r="I22" s="19" t="s">
        <v>79</v>
      </c>
      <c r="J22" s="19" t="s">
        <v>80</v>
      </c>
      <c r="K22" s="19" t="s">
        <v>81</v>
      </c>
      <c r="L22" s="19" t="s">
        <v>82</v>
      </c>
      <c r="M22" s="10" t="n">
        <v>296.132</v>
      </c>
      <c r="N22" s="21" t="n">
        <v>84.032</v>
      </c>
    </row>
  </sheetData>
  <mergeCells count="4">
    <mergeCell ref="A1:N1"/>
    <mergeCell ref="A2:N2"/>
    <mergeCell ref="A17:G17"/>
    <mergeCell ref="H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2" min="2" style="0" width="12"/>
  </cols>
  <sheetData>
    <row r="1" customFormat="false" ht="27.75" hidden="false" customHeight="true" outlineLevel="0" collapsed="false">
      <c r="A1" s="22" t="s">
        <v>83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3" customFormat="false" ht="21.75" hidden="false" customHeight="true" outlineLevel="0" collapsed="false">
      <c r="A3" s="16" t="s">
        <v>84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customFormat="false" ht="31.5" hidden="false" customHeight="true" outlineLevel="0" collapsed="false">
      <c r="A4" s="23" t="s">
        <v>85</v>
      </c>
      <c r="B4" s="23" t="s">
        <v>86</v>
      </c>
      <c r="C4" s="23" t="s">
        <v>87</v>
      </c>
      <c r="D4" s="23" t="s">
        <v>88</v>
      </c>
      <c r="E4" s="23" t="s">
        <v>89</v>
      </c>
      <c r="F4" s="23" t="s">
        <v>90</v>
      </c>
      <c r="G4" s="23" t="s">
        <v>91</v>
      </c>
      <c r="H4" s="23" t="s">
        <v>92</v>
      </c>
      <c r="I4" s="23" t="s">
        <v>93</v>
      </c>
      <c r="J4" s="23" t="s">
        <v>94</v>
      </c>
      <c r="K4" s="23" t="s">
        <v>95</v>
      </c>
      <c r="L4" s="23" t="s">
        <v>96</v>
      </c>
    </row>
    <row r="5" customFormat="false" ht="15.75" hidden="false" customHeight="true" outlineLevel="0" collapsed="false">
      <c r="A5" s="24" t="s">
        <v>97</v>
      </c>
      <c r="B5" s="25" t="n">
        <v>290.18</v>
      </c>
      <c r="C5" s="25" t="n">
        <v>118.02</v>
      </c>
      <c r="D5" s="25" t="n">
        <v>104.34</v>
      </c>
      <c r="E5" s="25" t="n">
        <v>253.54</v>
      </c>
      <c r="F5" s="25" t="n">
        <v>174.82</v>
      </c>
      <c r="G5" s="25" t="n">
        <v>302.08</v>
      </c>
      <c r="H5" s="25" t="n">
        <v>483.26</v>
      </c>
      <c r="I5" s="26" t="n">
        <v>3458</v>
      </c>
      <c r="J5" s="25" t="n">
        <v>2.18</v>
      </c>
      <c r="K5" s="25" t="n">
        <v>100</v>
      </c>
      <c r="L5" s="25" t="n">
        <v>0</v>
      </c>
    </row>
    <row r="6" customFormat="false" ht="15.75" hidden="false" customHeight="true" outlineLevel="0" collapsed="false">
      <c r="A6" s="27" t="s">
        <v>98</v>
      </c>
      <c r="B6" s="8" t="n">
        <v>325.69</v>
      </c>
      <c r="C6" s="8" t="n">
        <v>127.38</v>
      </c>
      <c r="D6" s="8" t="n">
        <v>79.08</v>
      </c>
      <c r="E6" s="8" t="n">
        <v>160.99</v>
      </c>
      <c r="F6" s="8" t="n">
        <v>144.98</v>
      </c>
      <c r="G6" s="8" t="n">
        <v>250.69</v>
      </c>
      <c r="H6" s="8" t="n">
        <v>829.54</v>
      </c>
      <c r="I6" s="12" t="n">
        <v>3318</v>
      </c>
      <c r="J6" s="8" t="n">
        <v>2.28</v>
      </c>
      <c r="K6" s="8" t="n">
        <v>100</v>
      </c>
      <c r="L6" s="8" t="n">
        <v>0</v>
      </c>
    </row>
    <row r="7" customFormat="false" ht="15.75" hidden="false" customHeight="true" outlineLevel="0" collapsed="false">
      <c r="A7" s="24" t="s">
        <v>99</v>
      </c>
      <c r="B7" s="25" t="n">
        <v>312.62</v>
      </c>
      <c r="C7" s="25" t="n">
        <v>102.05</v>
      </c>
      <c r="D7" s="25" t="n">
        <v>113.22</v>
      </c>
      <c r="E7" s="25" t="n">
        <v>128.4</v>
      </c>
      <c r="F7" s="25" t="n">
        <v>121.04</v>
      </c>
      <c r="G7" s="25" t="n">
        <v>198.4</v>
      </c>
      <c r="H7" s="25" t="n">
        <v>540.66</v>
      </c>
      <c r="I7" s="26" t="n">
        <v>3728</v>
      </c>
      <c r="J7" s="25" t="n">
        <v>2.02</v>
      </c>
      <c r="K7" s="25" t="n">
        <v>100</v>
      </c>
      <c r="L7" s="25" t="n">
        <v>0</v>
      </c>
    </row>
    <row r="8" customFormat="false" ht="15.75" hidden="false" customHeight="true" outlineLevel="0" collapsed="false">
      <c r="A8" s="27" t="s">
        <v>100</v>
      </c>
      <c r="B8" s="8" t="n">
        <v>330.01</v>
      </c>
      <c r="C8" s="8" t="n">
        <v>99.81</v>
      </c>
      <c r="D8" s="8" t="n">
        <v>79.87</v>
      </c>
      <c r="E8" s="8" t="n">
        <v>119.19</v>
      </c>
      <c r="F8" s="8" t="n">
        <v>109.71</v>
      </c>
      <c r="G8" s="8" t="n">
        <v>159.73</v>
      </c>
      <c r="H8" s="8" t="n">
        <v>531.72</v>
      </c>
      <c r="I8" s="12" t="n">
        <v>3778</v>
      </c>
      <c r="J8" s="8" t="n">
        <v>2</v>
      </c>
      <c r="K8" s="8" t="n">
        <v>100</v>
      </c>
      <c r="L8" s="8" t="n">
        <v>0</v>
      </c>
    </row>
    <row r="9" customFormat="false" ht="15.75" hidden="false" customHeight="true" outlineLevel="0" collapsed="false">
      <c r="A9" s="24" t="s">
        <v>101</v>
      </c>
      <c r="B9" s="25" t="n">
        <v>360.51</v>
      </c>
      <c r="C9" s="25" t="n">
        <v>103.94</v>
      </c>
      <c r="D9" s="25" t="n">
        <v>86.93</v>
      </c>
      <c r="E9" s="25" t="n">
        <v>104.95</v>
      </c>
      <c r="F9" s="25" t="n">
        <v>114.81</v>
      </c>
      <c r="G9" s="25" t="n">
        <v>149.6</v>
      </c>
      <c r="H9" s="25" t="n">
        <v>553.41</v>
      </c>
      <c r="I9" s="26" t="n">
        <v>3698</v>
      </c>
      <c r="J9" s="25" t="n">
        <v>2.04</v>
      </c>
      <c r="K9" s="25" t="n">
        <v>100</v>
      </c>
      <c r="L9" s="25" t="n">
        <v>0</v>
      </c>
    </row>
    <row r="12" customFormat="false" ht="21.75" hidden="false" customHeight="true" outlineLevel="0" collapsed="false">
      <c r="A12" s="17" t="s">
        <v>102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customFormat="false" ht="31.5" hidden="false" customHeight="true" outlineLevel="0" collapsed="false">
      <c r="A13" s="28" t="s">
        <v>85</v>
      </c>
      <c r="B13" s="28" t="s">
        <v>86</v>
      </c>
      <c r="C13" s="28" t="s">
        <v>87</v>
      </c>
      <c r="D13" s="28" t="s">
        <v>88</v>
      </c>
      <c r="E13" s="28" t="s">
        <v>89</v>
      </c>
      <c r="F13" s="28" t="s">
        <v>90</v>
      </c>
      <c r="G13" s="28" t="s">
        <v>91</v>
      </c>
      <c r="H13" s="28" t="s">
        <v>92</v>
      </c>
      <c r="I13" s="28" t="s">
        <v>93</v>
      </c>
      <c r="J13" s="28" t="s">
        <v>94</v>
      </c>
      <c r="K13" s="28" t="s">
        <v>95</v>
      </c>
      <c r="L13" s="28" t="s">
        <v>96</v>
      </c>
    </row>
    <row r="14" customFormat="false" ht="15.75" hidden="false" customHeight="true" outlineLevel="0" collapsed="false">
      <c r="A14" s="29" t="s">
        <v>97</v>
      </c>
      <c r="B14" s="30" t="n">
        <v>221.45</v>
      </c>
      <c r="C14" s="30" t="n">
        <v>96.16</v>
      </c>
      <c r="D14" s="30" t="n">
        <v>73.6</v>
      </c>
      <c r="E14" s="30" t="n">
        <v>129</v>
      </c>
      <c r="F14" s="30" t="n">
        <v>110.23</v>
      </c>
      <c r="G14" s="30" t="n">
        <v>329.62</v>
      </c>
      <c r="H14" s="30" t="n">
        <v>311.98</v>
      </c>
      <c r="I14" s="31" t="n">
        <v>3858</v>
      </c>
      <c r="J14" s="30" t="n">
        <v>1.96</v>
      </c>
      <c r="K14" s="30" t="n">
        <v>100</v>
      </c>
      <c r="L14" s="30" t="n">
        <v>0</v>
      </c>
    </row>
    <row r="15" customFormat="false" ht="15.75" hidden="false" customHeight="true" outlineLevel="0" collapsed="false">
      <c r="A15" s="27" t="s">
        <v>98</v>
      </c>
      <c r="B15" s="8" t="n">
        <v>277.06</v>
      </c>
      <c r="C15" s="8" t="n">
        <v>102.47</v>
      </c>
      <c r="D15" s="8" t="n">
        <v>71.85</v>
      </c>
      <c r="E15" s="8" t="n">
        <v>121.89</v>
      </c>
      <c r="F15" s="8" t="n">
        <v>117.99</v>
      </c>
      <c r="G15" s="8" t="n">
        <v>233.99</v>
      </c>
      <c r="H15" s="8" t="n">
        <v>478.87</v>
      </c>
      <c r="I15" s="12" t="n">
        <v>3728</v>
      </c>
      <c r="J15" s="8" t="n">
        <v>2.03</v>
      </c>
      <c r="K15" s="8" t="n">
        <v>100</v>
      </c>
      <c r="L15" s="8" t="n">
        <v>0</v>
      </c>
    </row>
    <row r="16" customFormat="false" ht="15.75" hidden="false" customHeight="true" outlineLevel="0" collapsed="false">
      <c r="A16" s="29" t="s">
        <v>99</v>
      </c>
      <c r="B16" s="30" t="n">
        <v>336.1</v>
      </c>
      <c r="C16" s="30" t="n">
        <v>154.47</v>
      </c>
      <c r="D16" s="30" t="n">
        <v>66.78</v>
      </c>
      <c r="E16" s="30" t="n">
        <v>140.4</v>
      </c>
      <c r="F16" s="30" t="n">
        <v>124.47</v>
      </c>
      <c r="G16" s="30" t="n">
        <v>247.41</v>
      </c>
      <c r="H16" s="30" t="n">
        <v>639.38</v>
      </c>
      <c r="I16" s="31" t="n">
        <v>2997</v>
      </c>
      <c r="J16" s="30" t="n">
        <v>2.32</v>
      </c>
      <c r="K16" s="30" t="n">
        <v>100</v>
      </c>
      <c r="L16" s="30" t="n">
        <v>0</v>
      </c>
    </row>
    <row r="17" customFormat="false" ht="15.75" hidden="false" customHeight="true" outlineLevel="0" collapsed="false">
      <c r="A17" s="27" t="s">
        <v>100</v>
      </c>
      <c r="B17" s="8" t="n">
        <v>573.64</v>
      </c>
      <c r="C17" s="8" t="n">
        <v>178.39</v>
      </c>
      <c r="D17" s="8" t="n">
        <v>277.47</v>
      </c>
      <c r="E17" s="8" t="n">
        <v>420.25</v>
      </c>
      <c r="F17" s="8" t="n">
        <v>295.9</v>
      </c>
      <c r="G17" s="8" t="n">
        <v>326.09</v>
      </c>
      <c r="H17" s="8" t="n">
        <v>1290</v>
      </c>
      <c r="I17" s="12" t="n">
        <v>2698</v>
      </c>
      <c r="J17" s="8" t="n">
        <v>2.8</v>
      </c>
      <c r="K17" s="8" t="n">
        <v>100</v>
      </c>
      <c r="L17" s="8" t="n">
        <v>0</v>
      </c>
    </row>
    <row r="18" customFormat="false" ht="15.75" hidden="false" customHeight="true" outlineLevel="0" collapsed="false">
      <c r="A18" s="29" t="s">
        <v>101</v>
      </c>
      <c r="B18" s="30" t="n">
        <v>383.58</v>
      </c>
      <c r="C18" s="30" t="n">
        <v>177.23</v>
      </c>
      <c r="D18" s="30" t="n">
        <v>68.78</v>
      </c>
      <c r="E18" s="30" t="n">
        <v>191.18</v>
      </c>
      <c r="F18" s="30" t="n">
        <v>152.81</v>
      </c>
      <c r="G18" s="30" t="n">
        <v>343.55</v>
      </c>
      <c r="H18" s="30" t="n">
        <v>935.29</v>
      </c>
      <c r="I18" s="31" t="n">
        <v>2857</v>
      </c>
      <c r="J18" s="30" t="n">
        <v>2.71</v>
      </c>
      <c r="K18" s="30" t="n">
        <v>99.85</v>
      </c>
      <c r="L18" s="30" t="n">
        <v>0.07</v>
      </c>
    </row>
  </sheetData>
  <mergeCells count="3">
    <mergeCell ref="A1:M1"/>
    <mergeCell ref="A3:L3"/>
    <mergeCell ref="A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5"/>
  </cols>
  <sheetData>
    <row r="1" customFormat="false" ht="31.5" hidden="false" customHeight="true" outlineLevel="0" collapsed="false">
      <c r="A1" s="1" t="s">
        <v>103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104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2" t="s">
        <v>105</v>
      </c>
      <c r="B4" s="32" t="s">
        <v>106</v>
      </c>
      <c r="C4" s="32" t="s">
        <v>107</v>
      </c>
      <c r="D4" s="32" t="s">
        <v>108</v>
      </c>
      <c r="E4" s="32" t="s">
        <v>109</v>
      </c>
      <c r="F4" s="32" t="s">
        <v>110</v>
      </c>
    </row>
    <row r="5" customFormat="false" ht="18" hidden="false" customHeight="true" outlineLevel="0" collapsed="false">
      <c r="A5" s="7" t="s">
        <v>111</v>
      </c>
      <c r="B5" s="24" t="n">
        <v>323.8</v>
      </c>
      <c r="C5" s="24" t="n">
        <v>358.37</v>
      </c>
      <c r="D5" s="33" t="s">
        <v>112</v>
      </c>
      <c r="E5" s="34" t="s">
        <v>113</v>
      </c>
      <c r="F5" s="35" t="s">
        <v>114</v>
      </c>
    </row>
    <row r="6" customFormat="false" ht="18" hidden="false" customHeight="true" outlineLevel="0" collapsed="false">
      <c r="A6" s="36" t="s">
        <v>17</v>
      </c>
      <c r="B6" s="27" t="n">
        <v>110.24</v>
      </c>
      <c r="C6" s="27" t="n">
        <v>141.74</v>
      </c>
      <c r="D6" s="33" t="s">
        <v>115</v>
      </c>
      <c r="E6" s="34" t="s">
        <v>113</v>
      </c>
      <c r="F6" s="37" t="s">
        <v>116</v>
      </c>
    </row>
    <row r="7" customFormat="false" ht="18" hidden="false" customHeight="true" outlineLevel="0" collapsed="false">
      <c r="A7" s="7" t="s">
        <v>18</v>
      </c>
      <c r="B7" s="24" t="n">
        <v>92.69</v>
      </c>
      <c r="C7" s="24" t="n">
        <v>111.7</v>
      </c>
      <c r="D7" s="33" t="s">
        <v>117</v>
      </c>
      <c r="E7" s="34" t="s">
        <v>113</v>
      </c>
      <c r="F7" s="35" t="s">
        <v>118</v>
      </c>
    </row>
    <row r="8" customFormat="false" ht="18" hidden="false" customHeight="true" outlineLevel="0" collapsed="false">
      <c r="A8" s="36" t="s">
        <v>19</v>
      </c>
      <c r="B8" s="27" t="n">
        <v>153.41</v>
      </c>
      <c r="C8" s="27" t="n">
        <v>200.54</v>
      </c>
      <c r="D8" s="33" t="s">
        <v>119</v>
      </c>
      <c r="E8" s="34" t="s">
        <v>113</v>
      </c>
      <c r="F8" s="37" t="s">
        <v>120</v>
      </c>
    </row>
    <row r="9" customFormat="false" ht="18" hidden="false" customHeight="true" outlineLevel="0" collapsed="false">
      <c r="A9" s="7" t="s">
        <v>20</v>
      </c>
      <c r="B9" s="24" t="n">
        <v>133.07</v>
      </c>
      <c r="C9" s="24" t="n">
        <v>178.28</v>
      </c>
      <c r="D9" s="33" t="s">
        <v>121</v>
      </c>
      <c r="E9" s="34" t="s">
        <v>113</v>
      </c>
      <c r="F9" s="35" t="s">
        <v>122</v>
      </c>
    </row>
    <row r="10" customFormat="false" ht="18" hidden="false" customHeight="true" outlineLevel="0" collapsed="false">
      <c r="A10" s="36" t="s">
        <v>123</v>
      </c>
      <c r="B10" s="27" t="n">
        <v>212.1</v>
      </c>
      <c r="C10" s="27" t="n">
        <v>296.13</v>
      </c>
      <c r="D10" s="33" t="s">
        <v>124</v>
      </c>
      <c r="E10" s="34" t="s">
        <v>113</v>
      </c>
      <c r="F10" s="37" t="s">
        <v>125</v>
      </c>
    </row>
    <row r="11" customFormat="false" ht="18" hidden="false" customHeight="true" outlineLevel="0" collapsed="false">
      <c r="A11" s="7" t="s">
        <v>22</v>
      </c>
      <c r="B11" s="24" t="n">
        <v>587.72</v>
      </c>
      <c r="C11" s="24" t="n">
        <v>731.1</v>
      </c>
      <c r="D11" s="33" t="s">
        <v>126</v>
      </c>
      <c r="E11" s="34" t="s">
        <v>113</v>
      </c>
      <c r="F11" s="35" t="s">
        <v>127</v>
      </c>
    </row>
    <row r="12" customFormat="false" ht="18" hidden="false" customHeight="true" outlineLevel="0" collapsed="false">
      <c r="A12" s="36" t="s">
        <v>128</v>
      </c>
      <c r="B12" s="27" t="n">
        <v>3596</v>
      </c>
      <c r="C12" s="27" t="n">
        <v>3207.6</v>
      </c>
      <c r="D12" s="34" t="s">
        <v>129</v>
      </c>
      <c r="E12" s="34" t="s">
        <v>113</v>
      </c>
      <c r="F12" s="37" t="s">
        <v>130</v>
      </c>
    </row>
    <row r="13" customFormat="false" ht="18" hidden="false" customHeight="true" outlineLevel="0" collapsed="false">
      <c r="A13" s="7" t="s">
        <v>131</v>
      </c>
      <c r="B13" s="24" t="n">
        <v>2.1</v>
      </c>
      <c r="C13" s="24" t="n">
        <v>2.36</v>
      </c>
      <c r="D13" s="33" t="s">
        <v>132</v>
      </c>
      <c r="E13" s="34" t="s">
        <v>113</v>
      </c>
      <c r="F13" s="35" t="s">
        <v>133</v>
      </c>
    </row>
    <row r="14" customFormat="false" ht="18" hidden="false" customHeight="true" outlineLevel="0" collapsed="false">
      <c r="A14" s="36" t="s">
        <v>134</v>
      </c>
      <c r="B14" s="27" t="s">
        <v>135</v>
      </c>
      <c r="C14" s="27" t="s">
        <v>136</v>
      </c>
      <c r="D14" s="34" t="s">
        <v>137</v>
      </c>
      <c r="E14" s="34" t="s">
        <v>113</v>
      </c>
      <c r="F14" s="37" t="s">
        <v>138</v>
      </c>
    </row>
    <row r="15" customFormat="false" ht="18" hidden="false" customHeight="true" outlineLevel="0" collapsed="false">
      <c r="A15" s="7" t="s">
        <v>139</v>
      </c>
      <c r="B15" s="24" t="s">
        <v>140</v>
      </c>
      <c r="C15" s="24" t="s">
        <v>141</v>
      </c>
      <c r="D15" s="33" t="s">
        <v>142</v>
      </c>
      <c r="E15" s="34" t="s">
        <v>113</v>
      </c>
      <c r="F15" s="35" t="s">
        <v>143</v>
      </c>
    </row>
    <row r="16" customFormat="false" ht="18" hidden="false" customHeight="true" outlineLevel="0" collapsed="false">
      <c r="A16" s="36" t="s">
        <v>144</v>
      </c>
      <c r="B16" s="27" t="s">
        <v>145</v>
      </c>
      <c r="C16" s="27" t="s">
        <v>146</v>
      </c>
      <c r="D16" s="34" t="s">
        <v>147</v>
      </c>
      <c r="E16" s="34" t="s">
        <v>113</v>
      </c>
      <c r="F16" s="37" t="s">
        <v>148</v>
      </c>
    </row>
    <row r="19" customFormat="false" ht="24" hidden="false" customHeight="true" outlineLevel="0" collapsed="false">
      <c r="A19" s="38" t="s">
        <v>149</v>
      </c>
      <c r="B19" s="38"/>
      <c r="C19" s="38"/>
      <c r="D19" s="38"/>
      <c r="E19" s="38"/>
      <c r="F19" s="38"/>
    </row>
    <row r="20" customFormat="false" ht="36" hidden="false" customHeight="true" outlineLevel="0" collapsed="false">
      <c r="A20" s="39" t="s">
        <v>150</v>
      </c>
      <c r="B20" s="40" t="s">
        <v>151</v>
      </c>
      <c r="C20" s="40"/>
      <c r="D20" s="40"/>
      <c r="E20" s="40"/>
      <c r="F20" s="40"/>
    </row>
    <row r="21" customFormat="false" ht="36" hidden="false" customHeight="true" outlineLevel="0" collapsed="false">
      <c r="A21" s="39" t="s">
        <v>152</v>
      </c>
      <c r="B21" s="40" t="s">
        <v>153</v>
      </c>
      <c r="C21" s="40"/>
      <c r="D21" s="40"/>
      <c r="E21" s="40"/>
      <c r="F21" s="40"/>
    </row>
    <row r="22" customFormat="false" ht="36" hidden="false" customHeight="true" outlineLevel="0" collapsed="false">
      <c r="A22" s="39" t="s">
        <v>154</v>
      </c>
      <c r="B22" s="40" t="s">
        <v>155</v>
      </c>
      <c r="C22" s="40"/>
      <c r="D22" s="40"/>
      <c r="E22" s="40"/>
      <c r="F22" s="40"/>
    </row>
    <row r="23" customFormat="false" ht="36" hidden="false" customHeight="true" outlineLevel="0" collapsed="false">
      <c r="A23" s="39" t="s">
        <v>156</v>
      </c>
      <c r="B23" s="40" t="s">
        <v>157</v>
      </c>
      <c r="C23" s="40"/>
      <c r="D23" s="40"/>
      <c r="E23" s="40"/>
      <c r="F23" s="40"/>
    </row>
    <row r="24" customFormat="false" ht="36" hidden="false" customHeight="true" outlineLevel="0" collapsed="false">
      <c r="A24" s="39" t="s">
        <v>158</v>
      </c>
      <c r="B24" s="40" t="s">
        <v>159</v>
      </c>
      <c r="C24" s="40"/>
      <c r="D24" s="40"/>
      <c r="E24" s="40"/>
      <c r="F24" s="40"/>
    </row>
  </sheetData>
  <mergeCells count="8">
    <mergeCell ref="A1:F1"/>
    <mergeCell ref="A2:F2"/>
    <mergeCell ref="A19:F19"/>
    <mergeCell ref="B20:F20"/>
    <mergeCell ref="B21:F21"/>
    <mergeCell ref="B22:F22"/>
    <mergeCell ref="B23:F2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2026-04-28T07:51:58Z</dcterms:created>
  <dc:creator>openpyxl</dc:creator>
  <dc:description/>
  <dc:language>en-US</dc:language>
  <cp:lastModifiedBy/>
  <dcterms:modified xsi:type="dcterms:W3CDTF">2026-04-28T07:51:58Z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